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105" windowWidth="15120" windowHeight="8010"/>
  </bookViews>
  <sheets>
    <sheet name="меню" sheetId="4" r:id="rId1"/>
    <sheet name="пицца" sheetId="8" r:id="rId2"/>
    <sheet name="горячее" sheetId="9" r:id="rId3"/>
    <sheet name="закуски" sheetId="5" r:id="rId4"/>
    <sheet name="салаты" sheetId="6" r:id="rId5"/>
    <sheet name="бутерброды" sheetId="7" r:id="rId6"/>
    <sheet name="ритуальные обеды" sheetId="10" r:id="rId7"/>
  </sheets>
  <definedNames>
    <definedName name="_xlnm.Print_Area" localSheetId="5">бутерброды!$A$1:$E$45</definedName>
    <definedName name="_xlnm.Print_Area" localSheetId="2">горячее!$A$1:$E$45</definedName>
    <definedName name="_xlnm.Print_Area" localSheetId="3">закуски!$A$1:$F$45</definedName>
    <definedName name="_xlnm.Print_Area" localSheetId="0">меню!$A$1:$G$60</definedName>
    <definedName name="_xlnm.Print_Area" localSheetId="1">пицца!$A$1:$F$45</definedName>
    <definedName name="_xlnm.Print_Area" localSheetId="6">'ритуальные обеды'!$A$1:$F$45</definedName>
    <definedName name="_xlnm.Print_Area" localSheetId="4">салаты!$A$1:$F$45</definedName>
  </definedNames>
  <calcPr calcId="125725"/>
</workbook>
</file>

<file path=xl/calcChain.xml><?xml version="1.0" encoding="utf-8"?>
<calcChain xmlns="http://schemas.openxmlformats.org/spreadsheetml/2006/main">
  <c r="F8" i="4"/>
  <c r="F9"/>
  <c r="E9"/>
  <c r="E8"/>
  <c r="C54" s="1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10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F51"/>
  <c r="E52"/>
  <c r="F52"/>
  <c r="C57" l="1"/>
</calcChain>
</file>

<file path=xl/sharedStrings.xml><?xml version="1.0" encoding="utf-8"?>
<sst xmlns="http://schemas.openxmlformats.org/spreadsheetml/2006/main" count="144" uniqueCount="120">
  <si>
    <t>Меню</t>
  </si>
  <si>
    <t>дата    :</t>
  </si>
  <si>
    <t>зал:</t>
  </si>
  <si>
    <t>блюдо</t>
  </si>
  <si>
    <t>вес</t>
  </si>
  <si>
    <t>кол-во</t>
  </si>
  <si>
    <t>цена</t>
  </si>
  <si>
    <t>сумма</t>
  </si>
  <si>
    <t>вес выход</t>
  </si>
  <si>
    <t>пицца</t>
  </si>
  <si>
    <t>манчестер</t>
  </si>
  <si>
    <t>гавайская</t>
  </si>
  <si>
    <t>пицца с грибами</t>
  </si>
  <si>
    <t>цезарь</t>
  </si>
  <si>
    <t>пепперони</t>
  </si>
  <si>
    <t>четыре сыра</t>
  </si>
  <si>
    <t>курочка барбекю</t>
  </si>
  <si>
    <t>стейк из свинин с овощами</t>
  </si>
  <si>
    <t>мясо по французски с сыром</t>
  </si>
  <si>
    <t>отбивная из свинины  с грибами, сыром</t>
  </si>
  <si>
    <t>отбивная из куринного филе с грибами</t>
  </si>
  <si>
    <t>отбивная из свинины  с перцем, сыром</t>
  </si>
  <si>
    <t>буржуй в телогрейке</t>
  </si>
  <si>
    <t>картофель по швейцарски</t>
  </si>
  <si>
    <t>утка "Пекинка"</t>
  </si>
  <si>
    <t>куринное филе с ананасом и сыром</t>
  </si>
  <si>
    <t>свинина с ананасом</t>
  </si>
  <si>
    <t>жюльен</t>
  </si>
  <si>
    <t>семга в сливочном соусе</t>
  </si>
  <si>
    <t>мясо с черносливом</t>
  </si>
  <si>
    <t>медальоны из свинины</t>
  </si>
  <si>
    <t>мясо с овощами гриль</t>
  </si>
  <si>
    <t>рыбка по итальянски</t>
  </si>
  <si>
    <t xml:space="preserve">стейк из форели на гриле с томатом </t>
  </si>
  <si>
    <t>уха из сёмги в горшочке</t>
  </si>
  <si>
    <t>шашлык куринный</t>
  </si>
  <si>
    <t>картофель фри</t>
  </si>
  <si>
    <t xml:space="preserve">картофель запечёный </t>
  </si>
  <si>
    <t>картофель отварной</t>
  </si>
  <si>
    <t>рис с овощами</t>
  </si>
  <si>
    <t>овощи тушёные</t>
  </si>
  <si>
    <t>горячее</t>
  </si>
  <si>
    <t>мясная нарезка № 1</t>
  </si>
  <si>
    <t>мясная нарезка № 2</t>
  </si>
  <si>
    <t>рыбная нарезка № 1</t>
  </si>
  <si>
    <t>рыбная нарезка № 2</t>
  </si>
  <si>
    <t>сельдь "каспийский залом"</t>
  </si>
  <si>
    <t>сырная тарелка</t>
  </si>
  <si>
    <t>овощная нарезка</t>
  </si>
  <si>
    <t>баклажан по грузински</t>
  </si>
  <si>
    <t>рулет из бекона</t>
  </si>
  <si>
    <t>запечёные черри</t>
  </si>
  <si>
    <t>закуска "Филадельфия"</t>
  </si>
  <si>
    <t>закуска "Морская"</t>
  </si>
  <si>
    <t>"Царский ананас"</t>
  </si>
  <si>
    <t>закуска "Язычок"</t>
  </si>
  <si>
    <t>закуска "Язычок с горчицей"</t>
  </si>
  <si>
    <t>Тар-Тар из лосося</t>
  </si>
  <si>
    <t>закуска "Летняя"</t>
  </si>
  <si>
    <t>тарелка ассорти "Погребок"</t>
  </si>
  <si>
    <t>фаршированные шампиньоны</t>
  </si>
  <si>
    <t>фаршированные черри</t>
  </si>
  <si>
    <t>куринная шпажка</t>
  </si>
  <si>
    <t>креветка порционная</t>
  </si>
  <si>
    <t>куринный шашлык на шпажке</t>
  </si>
  <si>
    <t>фруктовая тарелка 1</t>
  </si>
  <si>
    <t>фруктовая тарелка 2</t>
  </si>
  <si>
    <t>закуски</t>
  </si>
  <si>
    <t>дамский каприз</t>
  </si>
  <si>
    <t>креветка в рюмке</t>
  </si>
  <si>
    <t>кобб салат</t>
  </si>
  <si>
    <t>семга под шубой</t>
  </si>
  <si>
    <t>погребок</t>
  </si>
  <si>
    <t>педант</t>
  </si>
  <si>
    <t>праздничный с ветчиной</t>
  </si>
  <si>
    <t xml:space="preserve">королевский </t>
  </si>
  <si>
    <t>"Мачо" с говядиной</t>
  </si>
  <si>
    <t>Оливье по домашнему</t>
  </si>
  <si>
    <t>цезарь с креветкой</t>
  </si>
  <si>
    <t>Ричард</t>
  </si>
  <si>
    <t>цезарь с курицей</t>
  </si>
  <si>
    <t>Лёгкий</t>
  </si>
  <si>
    <t>Царский</t>
  </si>
  <si>
    <t>Корейский</t>
  </si>
  <si>
    <t>Пигалица</t>
  </si>
  <si>
    <t>Грация</t>
  </si>
  <si>
    <t>Красное море</t>
  </si>
  <si>
    <t>рулетики из ветчины</t>
  </si>
  <si>
    <t>горячий с сёмгой</t>
  </si>
  <si>
    <t>горячий с ветчиной и ананасом</t>
  </si>
  <si>
    <t xml:space="preserve">горячий с ветчиной, томатом, сыром и </t>
  </si>
  <si>
    <t>холодный с неркой, сливочным сыром и</t>
  </si>
  <si>
    <t>холодный слив.масло, сельдь, огурец</t>
  </si>
  <si>
    <t xml:space="preserve">холодный с красной икрой, сливочным сыром </t>
  </si>
  <si>
    <t>холодный чёрный багет,  ветчина, томат, салат</t>
  </si>
  <si>
    <t>холодный с томатом, сыром, чесноком</t>
  </si>
  <si>
    <t>холодный чеснок, шпроты, томат</t>
  </si>
  <si>
    <t xml:space="preserve">круасан  "Нежность" </t>
  </si>
  <si>
    <t>круасан "Закусочный"</t>
  </si>
  <si>
    <t xml:space="preserve">круасан "Франция" </t>
  </si>
  <si>
    <t xml:space="preserve">онигири с курицей </t>
  </si>
  <si>
    <t>онигири с креветкой</t>
  </si>
  <si>
    <t>тарталетка сыр творожный, форель, укроп</t>
  </si>
  <si>
    <t>тарталетка сыр творожный, креветка королевская</t>
  </si>
  <si>
    <t>тарталетка грибы, курица</t>
  </si>
  <si>
    <t>тарталетка икра красная, сыр Хохланд</t>
  </si>
  <si>
    <t>канапе огурец свежий, рыба красная, сыр фета, зелень</t>
  </si>
  <si>
    <t>канапе багет, лисет салата,сыр творожный, ветчина</t>
  </si>
  <si>
    <t>канапе огурец свежий, яйцо перепела,сыр творожный</t>
  </si>
  <si>
    <t>Итого сумма:</t>
  </si>
  <si>
    <t>Вес выход:</t>
  </si>
  <si>
    <t>ритуальные обеды</t>
  </si>
  <si>
    <t>расстольник со сметаной, макароны отварные, тефтель, хлеб(2), сдоба(1), компот\морс</t>
  </si>
  <si>
    <t>суп лапша куринная, пюре картофельное, котлета мясная, хлеб(2), сдоба(1), компот\морс</t>
  </si>
  <si>
    <t>борщ со сметаной, картофельное пюре, гуляш из свинины, хлеб(2), сдоба, компот\морс</t>
  </si>
  <si>
    <t>уха из красной рыбы, плов с курицей или свининой, хлеб(2), сдоба, компот\морс</t>
  </si>
  <si>
    <t>щи из свежей капусты, греча отварная, минтай жареный, хлеб(2), сдоба, компот\морс</t>
  </si>
  <si>
    <t>салат витаминный, солянка, вермишель с куринной отбивной, хлеб(2), сдоба, компот\морс</t>
  </si>
  <si>
    <t>салаты</t>
  </si>
  <si>
    <t>бутерброды</t>
  </si>
</sst>
</file>

<file path=xl/styles.xml><?xml version="1.0" encoding="utf-8"?>
<styleSheet xmlns="http://schemas.openxmlformats.org/spreadsheetml/2006/main">
  <numFmts count="2">
    <numFmt numFmtId="164" formatCode="0;[Red]0"/>
    <numFmt numFmtId="165" formatCode="0;\-0;;@"/>
  </numFmts>
  <fonts count="12"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u/>
      <sz val="16"/>
      <color theme="1"/>
      <name val="Calibri"/>
      <family val="2"/>
      <charset val="204"/>
      <scheme val="minor"/>
    </font>
    <font>
      <sz val="26"/>
      <color theme="1"/>
      <name val="Bauhaus 93"/>
      <family val="5"/>
    </font>
    <font>
      <sz val="11"/>
      <color rgb="FF00000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Bauhaus 93"/>
      <family val="5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3">
    <xf numFmtId="0" fontId="0" fillId="0" borderId="0" xfId="0"/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/>
    <xf numFmtId="0" fontId="3" fillId="0" borderId="0" xfId="0" applyFont="1" applyAlignment="1">
      <alignment horizontal="center" vertical="top"/>
    </xf>
    <xf numFmtId="0" fontId="1" fillId="2" borderId="1" xfId="1" applyBorder="1" applyAlignment="1"/>
    <xf numFmtId="0" fontId="3" fillId="0" borderId="0" xfId="0" applyFont="1" applyAlignment="1">
      <alignment vertical="top"/>
    </xf>
    <xf numFmtId="0" fontId="4" fillId="0" borderId="0" xfId="0" applyFont="1" applyAlignment="1"/>
    <xf numFmtId="0" fontId="1" fillId="3" borderId="3" xfId="1" applyFill="1" applyBorder="1"/>
    <xf numFmtId="0" fontId="1" fillId="3" borderId="4" xfId="1" applyFill="1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left"/>
    </xf>
    <xf numFmtId="0" fontId="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1" xfId="1" applyBorder="1" applyAlignment="1">
      <alignment horizontal="left"/>
    </xf>
    <xf numFmtId="0" fontId="0" fillId="0" borderId="5" xfId="0" applyBorder="1" applyAlignment="1">
      <alignment horizontal="left"/>
    </xf>
    <xf numFmtId="0" fontId="1" fillId="2" borderId="5" xfId="1" applyBorder="1" applyAlignment="1">
      <alignment horizontal="center"/>
    </xf>
    <xf numFmtId="0" fontId="0" fillId="0" borderId="7" xfId="0" applyFill="1" applyBorder="1" applyAlignment="1"/>
    <xf numFmtId="0" fontId="0" fillId="0" borderId="1" xfId="0" applyBorder="1" applyAlignment="1">
      <alignment horizontal="left"/>
    </xf>
    <xf numFmtId="0" fontId="0" fillId="0" borderId="8" xfId="0" applyBorder="1"/>
    <xf numFmtId="0" fontId="1" fillId="3" borderId="9" xfId="1" applyFill="1" applyBorder="1"/>
    <xf numFmtId="0" fontId="0" fillId="0" borderId="6" xfId="0" applyBorder="1"/>
    <xf numFmtId="0" fontId="0" fillId="0" borderId="0" xfId="0" applyBorder="1" applyAlignment="1">
      <alignment horizontal="left"/>
    </xf>
    <xf numFmtId="0" fontId="0" fillId="0" borderId="0" xfId="0" applyBorder="1" applyAlignment="1"/>
    <xf numFmtId="2" fontId="0" fillId="0" borderId="0" xfId="0" applyNumberFormat="1"/>
    <xf numFmtId="164" fontId="0" fillId="0" borderId="0" xfId="0" applyNumberFormat="1" applyBorder="1" applyAlignment="1"/>
    <xf numFmtId="164" fontId="0" fillId="0" borderId="2" xfId="0" applyNumberFormat="1" applyBorder="1" applyAlignment="1"/>
    <xf numFmtId="164" fontId="0" fillId="0" borderId="7" xfId="0" applyNumberFormat="1" applyBorder="1" applyAlignment="1"/>
    <xf numFmtId="164" fontId="0" fillId="0" borderId="7" xfId="0" applyNumberFormat="1" applyFill="1" applyBorder="1" applyAlignment="1"/>
    <xf numFmtId="0" fontId="0" fillId="0" borderId="2" xfId="0" applyBorder="1" applyAlignment="1"/>
    <xf numFmtId="0" fontId="0" fillId="0" borderId="7" xfId="0" applyBorder="1" applyAlignment="1"/>
    <xf numFmtId="0" fontId="0" fillId="0" borderId="7" xfId="0" applyBorder="1"/>
    <xf numFmtId="0" fontId="0" fillId="0" borderId="10" xfId="0" applyBorder="1" applyAlignment="1"/>
    <xf numFmtId="0" fontId="0" fillId="0" borderId="6" xfId="0" applyBorder="1" applyAlignment="1"/>
    <xf numFmtId="0" fontId="0" fillId="0" borderId="11" xfId="0" applyBorder="1" applyAlignment="1">
      <alignment horizontal="left"/>
    </xf>
    <xf numFmtId="0" fontId="8" fillId="2" borderId="12" xfId="1" applyFont="1" applyBorder="1" applyAlignment="1">
      <alignment horizontal="center"/>
    </xf>
    <xf numFmtId="0" fontId="8" fillId="2" borderId="12" xfId="1" applyFont="1" applyBorder="1" applyAlignment="1"/>
    <xf numFmtId="0" fontId="8" fillId="2" borderId="12" xfId="1" applyFont="1" applyBorder="1"/>
    <xf numFmtId="0" fontId="0" fillId="0" borderId="5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1" fillId="2" borderId="10" xfId="1" applyBorder="1" applyAlignment="1">
      <alignment horizontal="center"/>
    </xf>
    <xf numFmtId="0" fontId="1" fillId="2" borderId="2" xfId="1" applyBorder="1" applyAlignment="1"/>
    <xf numFmtId="1" fontId="0" fillId="0" borderId="2" xfId="0" applyNumberFormat="1" applyBorder="1" applyAlignment="1"/>
    <xf numFmtId="0" fontId="5" fillId="0" borderId="0" xfId="0" applyFont="1" applyAlignment="1"/>
    <xf numFmtId="1" fontId="0" fillId="0" borderId="0" xfId="0" applyNumberFormat="1" applyBorder="1" applyAlignment="1"/>
    <xf numFmtId="0" fontId="0" fillId="0" borderId="0" xfId="0" applyFill="1" applyBorder="1" applyAlignment="1"/>
    <xf numFmtId="0" fontId="0" fillId="0" borderId="0" xfId="0" applyBorder="1"/>
    <xf numFmtId="0" fontId="0" fillId="0" borderId="0" xfId="0" applyBorder="1" applyAlignment="1">
      <alignment horizontal="left" wrapText="1"/>
    </xf>
    <xf numFmtId="0" fontId="0" fillId="0" borderId="13" xfId="0" applyBorder="1" applyAlignment="1"/>
    <xf numFmtId="1" fontId="0" fillId="0" borderId="7" xfId="0" applyNumberFormat="1" applyBorder="1" applyAlignment="1"/>
    <xf numFmtId="165" fontId="0" fillId="0" borderId="13" xfId="0" applyNumberFormat="1" applyBorder="1"/>
    <xf numFmtId="165" fontId="0" fillId="0" borderId="0" xfId="0" applyNumberFormat="1" applyBorder="1"/>
    <xf numFmtId="0" fontId="0" fillId="0" borderId="13" xfId="0" applyBorder="1" applyAlignment="1">
      <alignment horizontal="left" wrapText="1"/>
    </xf>
    <xf numFmtId="0" fontId="7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5" fontId="9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center"/>
    </xf>
  </cellXfs>
  <cellStyles count="2">
    <cellStyle name="Обычный" xfId="0" builtinId="0"/>
    <cellStyle name="Хороший" xfId="1" builtinId="2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2:G58"/>
  <sheetViews>
    <sheetView tabSelected="1" view="pageBreakPreview" topLeftCell="A2" zoomScale="115" zoomScaleNormal="100" zoomScaleSheetLayoutView="115" workbookViewId="0">
      <selection activeCell="E10" sqref="E10"/>
    </sheetView>
  </sheetViews>
  <sheetFormatPr defaultRowHeight="15"/>
  <cols>
    <col min="1" max="1" width="43.28515625" customWidth="1"/>
    <col min="5" max="5" width="17.5703125" customWidth="1"/>
    <col min="6" max="6" width="12.42578125" customWidth="1"/>
  </cols>
  <sheetData>
    <row r="2" spans="1:7">
      <c r="B2" s="58" t="s">
        <v>0</v>
      </c>
      <c r="C2" s="58"/>
      <c r="D2" s="58"/>
    </row>
    <row r="3" spans="1:7">
      <c r="B3" s="58"/>
      <c r="C3" s="58"/>
      <c r="D3" s="58"/>
    </row>
    <row r="5" spans="1:7" ht="21">
      <c r="A5" s="2" t="s">
        <v>1</v>
      </c>
      <c r="B5" s="4"/>
      <c r="C5" s="3" t="s">
        <v>2</v>
      </c>
      <c r="D5" s="59"/>
      <c r="E5" s="59"/>
      <c r="F5" s="59"/>
    </row>
    <row r="6" spans="1:7">
      <c r="A6" s="1"/>
      <c r="B6" s="1"/>
    </row>
    <row r="7" spans="1:7" ht="19.5" thickBot="1">
      <c r="A7" s="36" t="s">
        <v>3</v>
      </c>
      <c r="B7" s="36" t="s">
        <v>4</v>
      </c>
      <c r="C7" s="37" t="s">
        <v>6</v>
      </c>
      <c r="D7" s="37" t="s">
        <v>5</v>
      </c>
      <c r="E7" s="38" t="s">
        <v>7</v>
      </c>
      <c r="F7" s="38" t="s">
        <v>8</v>
      </c>
    </row>
    <row r="8" spans="1:7" ht="15" customHeight="1" thickTop="1">
      <c r="A8" s="53"/>
      <c r="B8" s="49"/>
      <c r="C8" s="49"/>
      <c r="D8" s="49"/>
      <c r="E8" s="51">
        <f>C8*D8</f>
        <v>0</v>
      </c>
      <c r="F8" s="52">
        <f t="shared" ref="F8:F9" si="0">B8*D8</f>
        <v>0</v>
      </c>
      <c r="G8" s="47"/>
    </row>
    <row r="9" spans="1:7" ht="18" customHeight="1">
      <c r="A9" s="23"/>
      <c r="B9" s="24"/>
      <c r="C9" s="24"/>
      <c r="D9" s="45"/>
      <c r="E9" s="52">
        <f>C9*D9</f>
        <v>0</v>
      </c>
      <c r="F9" s="52">
        <f t="shared" si="0"/>
        <v>0</v>
      </c>
      <c r="G9" s="47"/>
    </row>
    <row r="10" spans="1:7" ht="15" customHeight="1">
      <c r="A10" s="48"/>
      <c r="B10" s="24"/>
      <c r="C10" s="24"/>
      <c r="D10" s="24"/>
      <c r="E10" s="52">
        <f t="shared" ref="E10:E50" si="1">C10*D10</f>
        <v>0</v>
      </c>
      <c r="F10" s="52">
        <f>B10*D10</f>
        <v>0</v>
      </c>
      <c r="G10" s="47"/>
    </row>
    <row r="11" spans="1:7">
      <c r="A11" s="23"/>
      <c r="B11" s="26"/>
      <c r="C11" s="26"/>
      <c r="D11" s="26"/>
      <c r="E11" s="52">
        <f t="shared" si="1"/>
        <v>0</v>
      </c>
      <c r="F11" s="52">
        <f t="shared" ref="F11:F50" si="2">B11*D11</f>
        <v>0</v>
      </c>
      <c r="G11" s="47"/>
    </row>
    <row r="12" spans="1:7">
      <c r="A12" s="48"/>
      <c r="B12" s="24"/>
      <c r="C12" s="24"/>
      <c r="D12" s="24"/>
      <c r="E12" s="52">
        <f t="shared" si="1"/>
        <v>0</v>
      </c>
      <c r="F12" s="52">
        <f t="shared" si="2"/>
        <v>0</v>
      </c>
      <c r="G12" s="47"/>
    </row>
    <row r="13" spans="1:7">
      <c r="A13" s="48"/>
      <c r="B13" s="24"/>
      <c r="C13" s="24"/>
      <c r="D13" s="24"/>
      <c r="E13" s="52">
        <f t="shared" si="1"/>
        <v>0</v>
      </c>
      <c r="F13" s="52">
        <f t="shared" si="2"/>
        <v>0</v>
      </c>
      <c r="G13" s="47"/>
    </row>
    <row r="14" spans="1:7">
      <c r="A14" s="23"/>
      <c r="B14" s="46"/>
      <c r="C14" s="46"/>
      <c r="D14" s="45"/>
      <c r="E14" s="52">
        <f t="shared" si="1"/>
        <v>0</v>
      </c>
      <c r="F14" s="52">
        <f t="shared" si="2"/>
        <v>0</v>
      </c>
    </row>
    <row r="15" spans="1:7">
      <c r="A15" s="23"/>
      <c r="B15" s="24"/>
      <c r="C15" s="24"/>
      <c r="D15" s="24"/>
      <c r="E15" s="52">
        <f t="shared" si="1"/>
        <v>0</v>
      </c>
      <c r="F15" s="52">
        <f t="shared" si="2"/>
        <v>0</v>
      </c>
    </row>
    <row r="16" spans="1:7">
      <c r="A16" s="23"/>
      <c r="B16" s="46"/>
      <c r="C16" s="46"/>
      <c r="D16" s="47"/>
      <c r="E16" s="52">
        <f t="shared" si="1"/>
        <v>0</v>
      </c>
      <c r="F16" s="52">
        <f t="shared" si="2"/>
        <v>0</v>
      </c>
    </row>
    <row r="17" spans="1:6">
      <c r="A17" s="23"/>
      <c r="B17" s="46"/>
      <c r="C17" s="46"/>
      <c r="D17" s="47"/>
      <c r="E17" s="52">
        <f t="shared" si="1"/>
        <v>0</v>
      </c>
      <c r="F17" s="52">
        <f t="shared" si="2"/>
        <v>0</v>
      </c>
    </row>
    <row r="18" spans="1:6">
      <c r="A18" s="23"/>
      <c r="B18" s="24"/>
      <c r="C18" s="24"/>
      <c r="D18" s="24"/>
      <c r="E18" s="52">
        <f t="shared" si="1"/>
        <v>0</v>
      </c>
      <c r="F18" s="52">
        <f t="shared" si="2"/>
        <v>0</v>
      </c>
    </row>
    <row r="19" spans="1:6">
      <c r="A19" s="23"/>
      <c r="B19" s="26"/>
      <c r="C19" s="26"/>
      <c r="D19" s="26"/>
      <c r="E19" s="52">
        <f t="shared" si="1"/>
        <v>0</v>
      </c>
      <c r="F19" s="52">
        <f t="shared" si="2"/>
        <v>0</v>
      </c>
    </row>
    <row r="20" spans="1:6">
      <c r="E20" s="52">
        <f t="shared" si="1"/>
        <v>0</v>
      </c>
      <c r="F20" s="52">
        <f t="shared" si="2"/>
        <v>0</v>
      </c>
    </row>
    <row r="21" spans="1:6">
      <c r="E21" s="52">
        <f t="shared" si="1"/>
        <v>0</v>
      </c>
      <c r="F21" s="52">
        <f t="shared" si="2"/>
        <v>0</v>
      </c>
    </row>
    <row r="22" spans="1:6">
      <c r="E22" s="52">
        <f t="shared" si="1"/>
        <v>0</v>
      </c>
      <c r="F22" s="52">
        <f t="shared" si="2"/>
        <v>0</v>
      </c>
    </row>
    <row r="23" spans="1:6">
      <c r="E23" s="52">
        <f t="shared" si="1"/>
        <v>0</v>
      </c>
      <c r="F23" s="52">
        <f t="shared" si="2"/>
        <v>0</v>
      </c>
    </row>
    <row r="24" spans="1:6">
      <c r="E24" s="52">
        <f t="shared" si="1"/>
        <v>0</v>
      </c>
      <c r="F24" s="52">
        <f t="shared" si="2"/>
        <v>0</v>
      </c>
    </row>
    <row r="25" spans="1:6">
      <c r="E25" s="52">
        <f t="shared" si="1"/>
        <v>0</v>
      </c>
      <c r="F25" s="52">
        <f t="shared" si="2"/>
        <v>0</v>
      </c>
    </row>
    <row r="26" spans="1:6">
      <c r="E26" s="52">
        <f t="shared" si="1"/>
        <v>0</v>
      </c>
      <c r="F26" s="52">
        <f t="shared" si="2"/>
        <v>0</v>
      </c>
    </row>
    <row r="27" spans="1:6">
      <c r="E27" s="52">
        <f t="shared" si="1"/>
        <v>0</v>
      </c>
      <c r="F27" s="52">
        <f t="shared" si="2"/>
        <v>0</v>
      </c>
    </row>
    <row r="28" spans="1:6">
      <c r="E28" s="52">
        <f t="shared" si="1"/>
        <v>0</v>
      </c>
      <c r="F28" s="52">
        <f t="shared" si="2"/>
        <v>0</v>
      </c>
    </row>
    <row r="29" spans="1:6">
      <c r="E29" s="52">
        <f t="shared" si="1"/>
        <v>0</v>
      </c>
      <c r="F29" s="52">
        <f t="shared" si="2"/>
        <v>0</v>
      </c>
    </row>
    <row r="30" spans="1:6">
      <c r="E30" s="52">
        <f t="shared" si="1"/>
        <v>0</v>
      </c>
      <c r="F30" s="52">
        <f t="shared" si="2"/>
        <v>0</v>
      </c>
    </row>
    <row r="31" spans="1:6">
      <c r="E31" s="52">
        <f t="shared" si="1"/>
        <v>0</v>
      </c>
      <c r="F31" s="52">
        <f t="shared" si="2"/>
        <v>0</v>
      </c>
    </row>
    <row r="32" spans="1:6">
      <c r="E32" s="52">
        <f t="shared" si="1"/>
        <v>0</v>
      </c>
      <c r="F32" s="52">
        <f t="shared" si="2"/>
        <v>0</v>
      </c>
    </row>
    <row r="33" spans="5:6">
      <c r="E33" s="52">
        <f t="shared" si="1"/>
        <v>0</v>
      </c>
      <c r="F33" s="52">
        <f t="shared" si="2"/>
        <v>0</v>
      </c>
    </row>
    <row r="34" spans="5:6">
      <c r="E34" s="52">
        <f t="shared" si="1"/>
        <v>0</v>
      </c>
      <c r="F34" s="52">
        <f t="shared" si="2"/>
        <v>0</v>
      </c>
    </row>
    <row r="35" spans="5:6">
      <c r="E35" s="52">
        <f t="shared" si="1"/>
        <v>0</v>
      </c>
      <c r="F35" s="52">
        <f t="shared" si="2"/>
        <v>0</v>
      </c>
    </row>
    <row r="36" spans="5:6">
      <c r="E36" s="52">
        <f t="shared" si="1"/>
        <v>0</v>
      </c>
      <c r="F36" s="52">
        <f t="shared" si="2"/>
        <v>0</v>
      </c>
    </row>
    <row r="37" spans="5:6">
      <c r="E37" s="52">
        <f t="shared" si="1"/>
        <v>0</v>
      </c>
      <c r="F37" s="52">
        <f t="shared" si="2"/>
        <v>0</v>
      </c>
    </row>
    <row r="38" spans="5:6">
      <c r="E38" s="52">
        <f t="shared" si="1"/>
        <v>0</v>
      </c>
      <c r="F38" s="52">
        <f t="shared" si="2"/>
        <v>0</v>
      </c>
    </row>
    <row r="39" spans="5:6">
      <c r="E39" s="52">
        <f t="shared" si="1"/>
        <v>0</v>
      </c>
      <c r="F39" s="52">
        <f t="shared" si="2"/>
        <v>0</v>
      </c>
    </row>
    <row r="40" spans="5:6">
      <c r="E40" s="52">
        <f t="shared" si="1"/>
        <v>0</v>
      </c>
      <c r="F40" s="52">
        <f t="shared" si="2"/>
        <v>0</v>
      </c>
    </row>
    <row r="41" spans="5:6">
      <c r="E41" s="52">
        <f t="shared" si="1"/>
        <v>0</v>
      </c>
      <c r="F41" s="52">
        <f t="shared" si="2"/>
        <v>0</v>
      </c>
    </row>
    <row r="42" spans="5:6">
      <c r="E42" s="52">
        <f t="shared" si="1"/>
        <v>0</v>
      </c>
      <c r="F42" s="52">
        <f t="shared" si="2"/>
        <v>0</v>
      </c>
    </row>
    <row r="43" spans="5:6">
      <c r="E43" s="52">
        <f t="shared" si="1"/>
        <v>0</v>
      </c>
      <c r="F43" s="52">
        <f t="shared" si="2"/>
        <v>0</v>
      </c>
    </row>
    <row r="44" spans="5:6">
      <c r="E44" s="52">
        <f t="shared" si="1"/>
        <v>0</v>
      </c>
      <c r="F44" s="52">
        <f t="shared" si="2"/>
        <v>0</v>
      </c>
    </row>
    <row r="45" spans="5:6">
      <c r="E45" s="52">
        <f t="shared" si="1"/>
        <v>0</v>
      </c>
      <c r="F45" s="52">
        <f t="shared" si="2"/>
        <v>0</v>
      </c>
    </row>
    <row r="46" spans="5:6">
      <c r="E46" s="52">
        <f t="shared" si="1"/>
        <v>0</v>
      </c>
      <c r="F46" s="52">
        <f t="shared" si="2"/>
        <v>0</v>
      </c>
    </row>
    <row r="47" spans="5:6">
      <c r="E47" s="52">
        <f t="shared" si="1"/>
        <v>0</v>
      </c>
      <c r="F47" s="52">
        <f t="shared" si="2"/>
        <v>0</v>
      </c>
    </row>
    <row r="48" spans="5:6">
      <c r="E48" s="52">
        <f t="shared" si="1"/>
        <v>0</v>
      </c>
      <c r="F48" s="52">
        <f t="shared" si="2"/>
        <v>0</v>
      </c>
    </row>
    <row r="49" spans="1:6">
      <c r="E49" s="52">
        <f t="shared" si="1"/>
        <v>0</v>
      </c>
      <c r="F49" s="52">
        <f t="shared" si="2"/>
        <v>0</v>
      </c>
    </row>
    <row r="50" spans="1:6">
      <c r="E50" s="52">
        <f t="shared" si="1"/>
        <v>0</v>
      </c>
      <c r="F50" s="52">
        <f t="shared" si="2"/>
        <v>0</v>
      </c>
    </row>
    <row r="51" spans="1:6">
      <c r="E51" t="str">
        <f t="shared" ref="E51:E52" si="3">IF(OR(ISBLANK(C51),ISBLANK(D51)), "", C51*D51)</f>
        <v/>
      </c>
      <c r="F51" t="str">
        <f t="shared" ref="F51:F52" si="4">IF(OR(ISBLANK(B51),ISBLANK(C51)), "", B51*C51)</f>
        <v/>
      </c>
    </row>
    <row r="52" spans="1:6">
      <c r="E52" t="str">
        <f t="shared" si="3"/>
        <v/>
      </c>
      <c r="F52" t="str">
        <f t="shared" si="4"/>
        <v/>
      </c>
    </row>
    <row r="54" spans="1:6">
      <c r="A54" s="54" t="s">
        <v>109</v>
      </c>
      <c r="C54" s="60">
        <f>SUM(E8:E50)</f>
        <v>0</v>
      </c>
      <c r="D54" s="61"/>
      <c r="E54" s="61"/>
    </row>
    <row r="55" spans="1:6">
      <c r="A55" s="54"/>
      <c r="C55" s="61"/>
      <c r="D55" s="61"/>
      <c r="E55" s="61"/>
    </row>
    <row r="57" spans="1:6">
      <c r="A57" s="54" t="s">
        <v>110</v>
      </c>
      <c r="C57" s="55">
        <f>SUM(F8:F50)</f>
        <v>0</v>
      </c>
      <c r="D57" s="56"/>
      <c r="E57" s="56"/>
      <c r="F57" s="57"/>
    </row>
    <row r="58" spans="1:6">
      <c r="A58" s="54"/>
      <c r="C58" s="56"/>
      <c r="D58" s="56"/>
      <c r="E58" s="56"/>
      <c r="F58" s="57"/>
    </row>
  </sheetData>
  <dataConsolidate/>
  <mergeCells count="7">
    <mergeCell ref="A57:A58"/>
    <mergeCell ref="C57:E58"/>
    <mergeCell ref="F57:F58"/>
    <mergeCell ref="B2:D3"/>
    <mergeCell ref="D5:F5"/>
    <mergeCell ref="A54:A55"/>
    <mergeCell ref="C54:E55"/>
  </mergeCells>
  <pageMargins left="0.7" right="0.7" top="0.75" bottom="0.75" header="0.3" footer="0.3"/>
  <pageSetup paperSize="9" scale="7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7"/>
  <dimension ref="A2:F32"/>
  <sheetViews>
    <sheetView view="pageBreakPreview" zoomScale="115" zoomScaleNormal="100" zoomScaleSheetLayoutView="115" workbookViewId="0">
      <selection activeCell="D19" sqref="D19"/>
    </sheetView>
  </sheetViews>
  <sheetFormatPr defaultRowHeight="15"/>
  <cols>
    <col min="1" max="1" width="24.140625" style="12" customWidth="1"/>
    <col min="6" max="6" width="28.28515625" customWidth="1"/>
  </cols>
  <sheetData>
    <row r="2" spans="1:6">
      <c r="B2" s="58" t="s">
        <v>9</v>
      </c>
      <c r="C2" s="58"/>
      <c r="D2" s="58"/>
    </row>
    <row r="3" spans="1:6">
      <c r="B3" s="58"/>
      <c r="C3" s="58"/>
      <c r="D3" s="58"/>
    </row>
    <row r="5" spans="1:6" ht="21">
      <c r="A5" s="13"/>
      <c r="B5" s="6"/>
      <c r="C5" s="3"/>
      <c r="D5" s="7"/>
      <c r="E5" s="7"/>
      <c r="F5" s="7"/>
    </row>
    <row r="6" spans="1:6">
      <c r="A6" s="14"/>
      <c r="B6" s="1"/>
    </row>
    <row r="7" spans="1:6">
      <c r="A7" s="15" t="s">
        <v>3</v>
      </c>
      <c r="B7" s="17" t="s">
        <v>4</v>
      </c>
      <c r="C7" s="5" t="s">
        <v>6</v>
      </c>
      <c r="D7" s="5" t="s">
        <v>5</v>
      </c>
      <c r="E7" s="21"/>
      <c r="F7" s="9"/>
    </row>
    <row r="8" spans="1:6">
      <c r="A8" s="16" t="s">
        <v>10</v>
      </c>
      <c r="B8" s="27">
        <v>600</v>
      </c>
      <c r="C8" s="27">
        <v>700</v>
      </c>
      <c r="D8" s="27"/>
      <c r="E8" s="22"/>
      <c r="F8" s="20"/>
    </row>
    <row r="9" spans="1:6">
      <c r="A9" s="16" t="s">
        <v>11</v>
      </c>
      <c r="B9" s="28">
        <v>600</v>
      </c>
      <c r="C9" s="28">
        <v>700</v>
      </c>
      <c r="D9" s="28"/>
      <c r="E9" s="22"/>
    </row>
    <row r="10" spans="1:6">
      <c r="A10" s="16" t="s">
        <v>12</v>
      </c>
      <c r="B10" s="28">
        <v>600</v>
      </c>
      <c r="C10" s="28">
        <v>700</v>
      </c>
      <c r="D10" s="28"/>
      <c r="E10" s="22"/>
    </row>
    <row r="11" spans="1:6">
      <c r="A11" s="16" t="s">
        <v>13</v>
      </c>
      <c r="B11" s="28">
        <v>600</v>
      </c>
      <c r="C11" s="28">
        <v>700</v>
      </c>
      <c r="D11" s="28"/>
      <c r="E11" s="22"/>
    </row>
    <row r="12" spans="1:6">
      <c r="A12" s="19" t="s">
        <v>14</v>
      </c>
      <c r="B12" s="29">
        <v>550</v>
      </c>
      <c r="C12" s="29">
        <v>700</v>
      </c>
      <c r="D12" s="29"/>
      <c r="E12" s="22"/>
    </row>
    <row r="13" spans="1:6">
      <c r="A13" s="19" t="s">
        <v>15</v>
      </c>
      <c r="B13" s="29">
        <v>550</v>
      </c>
      <c r="C13" s="29">
        <v>700</v>
      </c>
      <c r="D13" s="29"/>
      <c r="E13" s="22"/>
    </row>
    <row r="14" spans="1:6">
      <c r="A14" s="19" t="s">
        <v>16</v>
      </c>
      <c r="B14" s="29">
        <v>550</v>
      </c>
      <c r="C14" s="29">
        <v>700</v>
      </c>
      <c r="D14" s="29"/>
      <c r="E14" s="22"/>
    </row>
    <row r="15" spans="1:6">
      <c r="B15" s="25"/>
      <c r="C15" s="25"/>
      <c r="D15" s="25"/>
    </row>
    <row r="16" spans="1:6">
      <c r="B16" s="25"/>
      <c r="C16" s="25"/>
      <c r="D16" s="25"/>
    </row>
    <row r="17" spans="2:4">
      <c r="B17" s="25"/>
      <c r="C17" s="25"/>
      <c r="D17" s="25"/>
    </row>
    <row r="18" spans="2:4">
      <c r="B18" s="25"/>
      <c r="C18" s="25"/>
      <c r="D18" s="25"/>
    </row>
    <row r="19" spans="2:4">
      <c r="B19" s="25"/>
      <c r="C19" s="25"/>
      <c r="D19" s="25"/>
    </row>
    <row r="20" spans="2:4">
      <c r="B20" s="25"/>
      <c r="C20" s="25"/>
      <c r="D20" s="25"/>
    </row>
    <row r="21" spans="2:4">
      <c r="B21" s="25"/>
      <c r="C21" s="25"/>
      <c r="D21" s="25"/>
    </row>
    <row r="22" spans="2:4">
      <c r="B22" s="25"/>
      <c r="C22" s="25"/>
      <c r="D22" s="25"/>
    </row>
    <row r="23" spans="2:4">
      <c r="B23" s="25"/>
      <c r="C23" s="25"/>
      <c r="D23" s="25"/>
    </row>
    <row r="24" spans="2:4">
      <c r="B24" s="25"/>
      <c r="C24" s="25"/>
      <c r="D24" s="25"/>
    </row>
    <row r="25" spans="2:4">
      <c r="B25" s="25"/>
      <c r="C25" s="25"/>
      <c r="D25" s="25"/>
    </row>
    <row r="26" spans="2:4">
      <c r="B26" s="25"/>
      <c r="C26" s="25"/>
      <c r="D26" s="25"/>
    </row>
    <row r="27" spans="2:4">
      <c r="B27" s="25"/>
      <c r="C27" s="25"/>
      <c r="D27" s="25"/>
    </row>
    <row r="28" spans="2:4">
      <c r="B28" s="25"/>
      <c r="C28" s="25"/>
      <c r="D28" s="25"/>
    </row>
    <row r="29" spans="2:4">
      <c r="B29" s="25"/>
      <c r="C29" s="25"/>
      <c r="D29" s="25"/>
    </row>
    <row r="30" spans="2:4">
      <c r="B30" s="25"/>
      <c r="C30" s="25"/>
      <c r="D30" s="25"/>
    </row>
    <row r="31" spans="2:4">
      <c r="B31" s="25"/>
      <c r="C31" s="25"/>
      <c r="D31" s="25"/>
    </row>
    <row r="32" spans="2:4">
      <c r="B32" s="25"/>
      <c r="C32" s="25"/>
      <c r="D32" s="25"/>
    </row>
  </sheetData>
  <mergeCells count="1">
    <mergeCell ref="B2:D3"/>
  </mergeCells>
  <pageMargins left="0.7" right="0.7" top="0.75" bottom="0.75" header="0.3" footer="0.3"/>
  <pageSetup paperSize="9" scale="90" orientation="portrait" horizontalDpi="180" verticalDpi="18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8"/>
  <dimension ref="A2:E31"/>
  <sheetViews>
    <sheetView view="pageBreakPreview" zoomScale="115" zoomScaleNormal="100" zoomScaleSheetLayoutView="115" workbookViewId="0">
      <selection activeCell="D22" sqref="D22"/>
    </sheetView>
  </sheetViews>
  <sheetFormatPr defaultRowHeight="15"/>
  <cols>
    <col min="1" max="1" width="39.140625" style="12" customWidth="1"/>
    <col min="5" max="5" width="28.28515625" customWidth="1"/>
  </cols>
  <sheetData>
    <row r="2" spans="1:5">
      <c r="B2" s="58" t="s">
        <v>41</v>
      </c>
      <c r="C2" s="58"/>
      <c r="D2" s="58"/>
    </row>
    <row r="3" spans="1:5">
      <c r="B3" s="58"/>
      <c r="C3" s="58"/>
      <c r="D3" s="58"/>
    </row>
    <row r="5" spans="1:5" ht="21">
      <c r="A5" s="13"/>
      <c r="B5" s="6"/>
      <c r="C5" s="3"/>
      <c r="D5" s="7"/>
      <c r="E5" s="7"/>
    </row>
    <row r="6" spans="1:5">
      <c r="A6" s="14"/>
      <c r="B6" s="1"/>
    </row>
    <row r="7" spans="1:5">
      <c r="A7" s="15" t="s">
        <v>3</v>
      </c>
      <c r="B7" s="17" t="s">
        <v>4</v>
      </c>
      <c r="C7" s="5" t="s">
        <v>6</v>
      </c>
      <c r="D7" s="5" t="s">
        <v>5</v>
      </c>
      <c r="E7" s="9"/>
    </row>
    <row r="8" spans="1:5">
      <c r="A8" s="16" t="s">
        <v>17</v>
      </c>
      <c r="B8" s="30">
        <v>200</v>
      </c>
      <c r="C8" s="30">
        <v>350</v>
      </c>
      <c r="D8" s="30"/>
      <c r="E8" s="11"/>
    </row>
    <row r="9" spans="1:5">
      <c r="A9" s="16" t="s">
        <v>18</v>
      </c>
      <c r="B9" s="31">
        <v>250</v>
      </c>
      <c r="C9" s="31">
        <v>430</v>
      </c>
      <c r="D9" s="31"/>
    </row>
    <row r="10" spans="1:5">
      <c r="A10" s="16" t="s">
        <v>19</v>
      </c>
      <c r="B10" s="31">
        <v>150</v>
      </c>
      <c r="C10" s="31">
        <v>350</v>
      </c>
      <c r="D10" s="31"/>
    </row>
    <row r="11" spans="1:5">
      <c r="A11" s="16" t="s">
        <v>20</v>
      </c>
      <c r="B11" s="31">
        <v>150</v>
      </c>
      <c r="C11" s="31">
        <v>350</v>
      </c>
      <c r="D11" s="31"/>
    </row>
    <row r="12" spans="1:5">
      <c r="A12" s="19" t="s">
        <v>21</v>
      </c>
      <c r="B12" s="18">
        <v>200</v>
      </c>
      <c r="C12" s="18">
        <v>350</v>
      </c>
      <c r="D12" s="32"/>
    </row>
    <row r="13" spans="1:5">
      <c r="A13" s="19" t="s">
        <v>22</v>
      </c>
      <c r="B13" s="32"/>
      <c r="C13" s="18">
        <v>290</v>
      </c>
      <c r="D13" s="32"/>
    </row>
    <row r="14" spans="1:5">
      <c r="A14" s="19" t="s">
        <v>23</v>
      </c>
      <c r="B14" s="32"/>
      <c r="C14" s="18">
        <v>390</v>
      </c>
      <c r="D14" s="32"/>
    </row>
    <row r="15" spans="1:5">
      <c r="A15" s="19" t="s">
        <v>24</v>
      </c>
      <c r="B15" s="32"/>
      <c r="C15" s="18">
        <v>1800</v>
      </c>
      <c r="D15" s="32"/>
    </row>
    <row r="16" spans="1:5">
      <c r="A16" s="19" t="s">
        <v>25</v>
      </c>
      <c r="B16" s="32"/>
      <c r="C16" s="18">
        <v>350</v>
      </c>
      <c r="D16" s="32"/>
    </row>
    <row r="17" spans="1:4">
      <c r="A17" s="19" t="s">
        <v>26</v>
      </c>
      <c r="B17" s="32"/>
      <c r="C17" s="18">
        <v>350</v>
      </c>
      <c r="D17" s="32"/>
    </row>
    <row r="18" spans="1:4">
      <c r="A18" s="19" t="s">
        <v>27</v>
      </c>
      <c r="B18" s="32">
        <v>200</v>
      </c>
      <c r="C18" s="18">
        <v>400</v>
      </c>
      <c r="D18" s="32"/>
    </row>
    <row r="19" spans="1:4">
      <c r="A19" s="19" t="s">
        <v>28</v>
      </c>
      <c r="B19" s="32">
        <v>350</v>
      </c>
      <c r="C19" s="18">
        <v>500</v>
      </c>
      <c r="D19" s="32"/>
    </row>
    <row r="20" spans="1:4">
      <c r="A20" s="19" t="s">
        <v>29</v>
      </c>
      <c r="B20" s="32">
        <v>120</v>
      </c>
      <c r="C20" s="18">
        <v>430</v>
      </c>
      <c r="D20" s="32"/>
    </row>
    <row r="21" spans="1:4">
      <c r="A21" s="19" t="s">
        <v>30</v>
      </c>
      <c r="B21" s="32">
        <v>200</v>
      </c>
      <c r="C21" s="18">
        <v>450</v>
      </c>
      <c r="D21" s="32"/>
    </row>
    <row r="22" spans="1:4">
      <c r="A22" s="19" t="s">
        <v>31</v>
      </c>
      <c r="B22" s="32">
        <v>300</v>
      </c>
      <c r="C22" s="18">
        <v>550</v>
      </c>
      <c r="D22" s="32"/>
    </row>
    <row r="23" spans="1:4">
      <c r="A23" s="19" t="s">
        <v>32</v>
      </c>
      <c r="B23" s="32">
        <v>120</v>
      </c>
      <c r="C23" s="18">
        <v>320</v>
      </c>
      <c r="D23" s="32"/>
    </row>
    <row r="24" spans="1:4">
      <c r="A24" s="19" t="s">
        <v>33</v>
      </c>
      <c r="B24" s="32">
        <v>150</v>
      </c>
      <c r="C24" s="18">
        <v>420</v>
      </c>
      <c r="D24" s="32"/>
    </row>
    <row r="25" spans="1:4">
      <c r="A25" s="19" t="s">
        <v>34</v>
      </c>
      <c r="B25" s="32">
        <v>200</v>
      </c>
      <c r="C25" s="18">
        <v>420</v>
      </c>
      <c r="D25" s="32"/>
    </row>
    <row r="26" spans="1:4">
      <c r="A26" s="19" t="s">
        <v>35</v>
      </c>
      <c r="B26" s="32">
        <v>100</v>
      </c>
      <c r="C26" s="18">
        <v>300</v>
      </c>
      <c r="D26" s="32"/>
    </row>
    <row r="27" spans="1:4">
      <c r="A27" s="19" t="s">
        <v>36</v>
      </c>
      <c r="B27" s="32">
        <v>150</v>
      </c>
      <c r="C27" s="18">
        <v>150</v>
      </c>
      <c r="D27" s="32"/>
    </row>
    <row r="28" spans="1:4">
      <c r="A28" s="19" t="s">
        <v>37</v>
      </c>
      <c r="B28" s="32">
        <v>150</v>
      </c>
      <c r="C28" s="18">
        <v>150</v>
      </c>
      <c r="D28" s="32"/>
    </row>
    <row r="29" spans="1:4">
      <c r="A29" s="19" t="s">
        <v>38</v>
      </c>
      <c r="B29" s="32">
        <v>150</v>
      </c>
      <c r="C29" s="18">
        <v>130</v>
      </c>
      <c r="D29" s="32"/>
    </row>
    <row r="30" spans="1:4">
      <c r="A30" s="19" t="s">
        <v>39</v>
      </c>
      <c r="B30" s="32">
        <v>150</v>
      </c>
      <c r="C30" s="18">
        <v>150</v>
      </c>
      <c r="D30" s="32"/>
    </row>
    <row r="31" spans="1:4">
      <c r="A31" s="19" t="s">
        <v>40</v>
      </c>
      <c r="B31" s="32">
        <v>100</v>
      </c>
      <c r="C31" s="18">
        <v>150</v>
      </c>
      <c r="D31" s="32"/>
    </row>
  </sheetData>
  <mergeCells count="1">
    <mergeCell ref="B2:D3"/>
  </mergeCells>
  <pageMargins left="0.7" right="0.7" top="0.75" bottom="0.75" header="0.3" footer="0.3"/>
  <pageSetup paperSize="9" scale="84" orientation="portrait" horizontalDpi="180" verticalDpi="18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2:F32"/>
  <sheetViews>
    <sheetView view="pageBreakPreview" zoomScale="115" zoomScaleNormal="100" zoomScaleSheetLayoutView="115" workbookViewId="0">
      <selection activeCell="D8" sqref="D8"/>
    </sheetView>
  </sheetViews>
  <sheetFormatPr defaultRowHeight="15"/>
  <cols>
    <col min="1" max="1" width="33.28515625" style="12" customWidth="1"/>
    <col min="6" max="6" width="28.28515625" customWidth="1"/>
  </cols>
  <sheetData>
    <row r="2" spans="1:6">
      <c r="B2" s="58" t="s">
        <v>67</v>
      </c>
      <c r="C2" s="58"/>
      <c r="D2" s="58"/>
    </row>
    <row r="3" spans="1:6">
      <c r="B3" s="58"/>
      <c r="C3" s="58"/>
      <c r="D3" s="58"/>
    </row>
    <row r="5" spans="1:6" ht="21">
      <c r="A5" s="13"/>
      <c r="B5" s="6"/>
      <c r="C5" s="3"/>
      <c r="D5" s="7"/>
      <c r="E5" s="7"/>
      <c r="F5" s="7"/>
    </row>
    <row r="6" spans="1:6">
      <c r="A6" s="14"/>
      <c r="B6" s="1"/>
    </row>
    <row r="7" spans="1:6">
      <c r="A7" s="15" t="s">
        <v>3</v>
      </c>
      <c r="B7" s="17" t="s">
        <v>4</v>
      </c>
      <c r="C7" s="5" t="s">
        <v>6</v>
      </c>
      <c r="D7" s="5" t="s">
        <v>5</v>
      </c>
      <c r="F7" s="9"/>
    </row>
    <row r="8" spans="1:6">
      <c r="A8" s="16" t="s">
        <v>42</v>
      </c>
      <c r="B8" s="33">
        <v>200</v>
      </c>
      <c r="C8" s="30">
        <v>490</v>
      </c>
      <c r="D8" s="30"/>
      <c r="F8" s="11"/>
    </row>
    <row r="9" spans="1:6">
      <c r="A9" s="16" t="s">
        <v>43</v>
      </c>
      <c r="B9" s="34">
        <v>200</v>
      </c>
      <c r="C9" s="31">
        <v>600</v>
      </c>
      <c r="D9" s="31"/>
    </row>
    <row r="10" spans="1:6">
      <c r="A10" s="16" t="s">
        <v>44</v>
      </c>
      <c r="B10" s="34">
        <v>150</v>
      </c>
      <c r="C10" s="31">
        <v>790</v>
      </c>
      <c r="D10" s="31"/>
    </row>
    <row r="11" spans="1:6">
      <c r="A11" s="16" t="s">
        <v>45</v>
      </c>
      <c r="B11" s="34">
        <v>150</v>
      </c>
      <c r="C11" s="31">
        <v>600</v>
      </c>
      <c r="D11" s="31"/>
    </row>
    <row r="12" spans="1:6">
      <c r="A12" s="19" t="s">
        <v>46</v>
      </c>
      <c r="B12" s="18">
        <v>300</v>
      </c>
      <c r="C12" s="18">
        <v>350</v>
      </c>
      <c r="D12" s="32"/>
    </row>
    <row r="13" spans="1:6">
      <c r="A13" s="19" t="s">
        <v>47</v>
      </c>
      <c r="B13" s="18">
        <v>200</v>
      </c>
      <c r="C13" s="18">
        <v>600</v>
      </c>
      <c r="D13" s="32"/>
    </row>
    <row r="14" spans="1:6">
      <c r="A14" s="19" t="s">
        <v>48</v>
      </c>
      <c r="B14" s="18">
        <v>200</v>
      </c>
      <c r="C14" s="18">
        <v>300</v>
      </c>
      <c r="D14" s="32"/>
    </row>
    <row r="15" spans="1:6">
      <c r="A15" s="19" t="s">
        <v>49</v>
      </c>
      <c r="B15" s="18">
        <v>60</v>
      </c>
      <c r="C15" s="18">
        <v>120</v>
      </c>
      <c r="D15" s="32"/>
    </row>
    <row r="16" spans="1:6">
      <c r="A16" s="19" t="s">
        <v>50</v>
      </c>
      <c r="B16" s="18">
        <v>60</v>
      </c>
      <c r="C16" s="18">
        <v>150</v>
      </c>
      <c r="D16" s="32"/>
    </row>
    <row r="17" spans="1:4">
      <c r="A17" s="19" t="s">
        <v>51</v>
      </c>
      <c r="B17" s="32"/>
      <c r="C17" s="18">
        <v>150</v>
      </c>
      <c r="D17" s="32"/>
    </row>
    <row r="18" spans="1:4">
      <c r="A18" s="19" t="s">
        <v>52</v>
      </c>
      <c r="B18" s="32"/>
      <c r="C18" s="18">
        <v>160</v>
      </c>
      <c r="D18" s="32"/>
    </row>
    <row r="19" spans="1:4">
      <c r="A19" s="19" t="s">
        <v>53</v>
      </c>
      <c r="B19" s="32">
        <v>80</v>
      </c>
      <c r="C19" s="18">
        <v>160</v>
      </c>
      <c r="D19" s="32"/>
    </row>
    <row r="20" spans="1:4">
      <c r="A20" s="19" t="s">
        <v>54</v>
      </c>
      <c r="B20" s="32"/>
      <c r="C20" s="18">
        <v>150</v>
      </c>
      <c r="D20" s="32"/>
    </row>
    <row r="21" spans="1:4">
      <c r="A21" s="19" t="s">
        <v>55</v>
      </c>
      <c r="B21" s="32"/>
      <c r="C21" s="18">
        <v>190</v>
      </c>
      <c r="D21" s="32"/>
    </row>
    <row r="22" spans="1:4">
      <c r="A22" s="19" t="s">
        <v>56</v>
      </c>
      <c r="B22" s="32">
        <v>100</v>
      </c>
      <c r="C22" s="18">
        <v>400</v>
      </c>
      <c r="D22" s="32"/>
    </row>
    <row r="23" spans="1:4">
      <c r="A23" s="19" t="s">
        <v>57</v>
      </c>
      <c r="B23" s="32">
        <v>100</v>
      </c>
      <c r="C23" s="18">
        <v>650</v>
      </c>
      <c r="D23" s="32"/>
    </row>
    <row r="24" spans="1:4">
      <c r="A24" s="19" t="s">
        <v>58</v>
      </c>
      <c r="B24" s="32">
        <v>50</v>
      </c>
      <c r="C24" s="18">
        <v>150</v>
      </c>
      <c r="D24" s="32"/>
    </row>
    <row r="25" spans="1:4">
      <c r="A25" s="19" t="s">
        <v>59</v>
      </c>
      <c r="B25" s="32">
        <v>600</v>
      </c>
      <c r="C25" s="18">
        <v>900</v>
      </c>
      <c r="D25" s="32"/>
    </row>
    <row r="26" spans="1:4">
      <c r="A26" s="19" t="s">
        <v>60</v>
      </c>
      <c r="B26" s="32">
        <v>80</v>
      </c>
      <c r="C26" s="18">
        <v>130</v>
      </c>
      <c r="D26" s="32"/>
    </row>
    <row r="27" spans="1:4">
      <c r="A27" s="19" t="s">
        <v>61</v>
      </c>
      <c r="B27" s="32">
        <v>100</v>
      </c>
      <c r="C27" s="18">
        <v>150</v>
      </c>
      <c r="D27" s="32"/>
    </row>
    <row r="28" spans="1:4">
      <c r="A28" s="19" t="s">
        <v>62</v>
      </c>
      <c r="B28" s="32">
        <v>80</v>
      </c>
      <c r="C28" s="18">
        <v>130</v>
      </c>
      <c r="D28" s="32"/>
    </row>
    <row r="29" spans="1:4">
      <c r="A29" s="19" t="s">
        <v>63</v>
      </c>
      <c r="B29" s="32">
        <v>80</v>
      </c>
      <c r="C29" s="18">
        <v>150</v>
      </c>
      <c r="D29" s="32"/>
    </row>
    <row r="30" spans="1:4">
      <c r="A30" s="19" t="s">
        <v>64</v>
      </c>
      <c r="B30" s="32">
        <v>100</v>
      </c>
      <c r="C30" s="18">
        <v>250</v>
      </c>
      <c r="D30" s="32"/>
    </row>
    <row r="31" spans="1:4">
      <c r="A31" s="19" t="s">
        <v>65</v>
      </c>
      <c r="B31" s="32">
        <v>600</v>
      </c>
      <c r="C31" s="18">
        <v>750</v>
      </c>
      <c r="D31" s="32"/>
    </row>
    <row r="32" spans="1:4">
      <c r="A32" s="19" t="s">
        <v>66</v>
      </c>
      <c r="B32" s="32">
        <v>600</v>
      </c>
      <c r="C32" s="18">
        <v>800</v>
      </c>
      <c r="D32" s="32"/>
    </row>
  </sheetData>
  <mergeCells count="1">
    <mergeCell ref="B2:D3"/>
  </mergeCells>
  <pageMargins left="0.7" right="0.7" top="0.75" bottom="0.75" header="0.3" footer="0.3"/>
  <pageSetup paperSize="9" scale="90" orientation="portrait" horizontalDpi="180" verticalDpi="18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2:F26"/>
  <sheetViews>
    <sheetView view="pageBreakPreview" zoomScale="115" zoomScaleNormal="100" zoomScaleSheetLayoutView="115" workbookViewId="0">
      <selection activeCell="D25" sqref="D25"/>
    </sheetView>
  </sheetViews>
  <sheetFormatPr defaultRowHeight="15"/>
  <cols>
    <col min="1" max="1" width="24.140625" style="12" customWidth="1"/>
    <col min="6" max="6" width="28.28515625" customWidth="1"/>
  </cols>
  <sheetData>
    <row r="2" spans="1:6" ht="15" customHeight="1">
      <c r="B2" s="58" t="s">
        <v>118</v>
      </c>
      <c r="C2" s="58"/>
      <c r="D2" s="44"/>
      <c r="E2" s="44"/>
    </row>
    <row r="3" spans="1:6" ht="15" customHeight="1">
      <c r="B3" s="58"/>
      <c r="C3" s="58"/>
      <c r="D3" s="44"/>
      <c r="E3" s="44"/>
    </row>
    <row r="5" spans="1:6" ht="21">
      <c r="A5" s="13"/>
      <c r="B5" s="6"/>
      <c r="D5" s="7"/>
      <c r="E5" s="3"/>
      <c r="F5" s="7"/>
    </row>
    <row r="6" spans="1:6">
      <c r="A6" s="14"/>
      <c r="B6" s="1"/>
    </row>
    <row r="7" spans="1:6">
      <c r="A7" s="15" t="s">
        <v>3</v>
      </c>
      <c r="B7" s="17" t="s">
        <v>4</v>
      </c>
      <c r="C7" s="5" t="s">
        <v>6</v>
      </c>
      <c r="D7" s="5" t="s">
        <v>5</v>
      </c>
      <c r="F7" s="9"/>
    </row>
    <row r="8" spans="1:6">
      <c r="A8" s="16" t="s">
        <v>68</v>
      </c>
      <c r="B8" s="33">
        <v>100</v>
      </c>
      <c r="C8" s="30">
        <v>250</v>
      </c>
      <c r="D8" s="30"/>
      <c r="F8" s="11"/>
    </row>
    <row r="9" spans="1:6">
      <c r="A9" s="16" t="s">
        <v>69</v>
      </c>
      <c r="B9" s="34">
        <v>100</v>
      </c>
      <c r="C9" s="31">
        <v>300</v>
      </c>
      <c r="D9" s="31"/>
    </row>
    <row r="10" spans="1:6">
      <c r="A10" s="16" t="s">
        <v>70</v>
      </c>
      <c r="B10" s="34">
        <v>100</v>
      </c>
      <c r="C10" s="31">
        <v>250</v>
      </c>
      <c r="D10" s="31"/>
    </row>
    <row r="11" spans="1:6">
      <c r="A11" s="16" t="s">
        <v>71</v>
      </c>
      <c r="B11" s="34">
        <v>100</v>
      </c>
      <c r="C11" s="31">
        <v>250</v>
      </c>
      <c r="D11" s="31"/>
    </row>
    <row r="12" spans="1:6">
      <c r="A12" s="19" t="s">
        <v>72</v>
      </c>
      <c r="B12" s="18">
        <v>100</v>
      </c>
      <c r="C12" s="18">
        <v>280</v>
      </c>
      <c r="D12" s="32"/>
    </row>
    <row r="13" spans="1:6">
      <c r="A13" s="19" t="s">
        <v>73</v>
      </c>
      <c r="B13" s="18">
        <v>100</v>
      </c>
      <c r="C13" s="18">
        <v>250</v>
      </c>
      <c r="D13" s="32"/>
    </row>
    <row r="14" spans="1:6">
      <c r="A14" s="19" t="s">
        <v>74</v>
      </c>
      <c r="B14" s="18">
        <v>100</v>
      </c>
      <c r="C14" s="18">
        <v>250</v>
      </c>
      <c r="D14" s="32"/>
    </row>
    <row r="15" spans="1:6">
      <c r="A15" s="19" t="s">
        <v>75</v>
      </c>
      <c r="B15" s="18">
        <v>100</v>
      </c>
      <c r="C15" s="18">
        <v>250</v>
      </c>
      <c r="D15" s="32"/>
    </row>
    <row r="16" spans="1:6">
      <c r="A16" s="19" t="s">
        <v>76</v>
      </c>
      <c r="B16" s="18">
        <v>100</v>
      </c>
      <c r="C16" s="18">
        <v>350</v>
      </c>
      <c r="D16" s="32"/>
    </row>
    <row r="17" spans="1:4">
      <c r="A17" s="19" t="s">
        <v>77</v>
      </c>
      <c r="B17" s="18">
        <v>100</v>
      </c>
      <c r="C17" s="18">
        <v>250</v>
      </c>
      <c r="D17" s="32"/>
    </row>
    <row r="18" spans="1:4">
      <c r="A18" s="19" t="s">
        <v>78</v>
      </c>
      <c r="B18" s="18">
        <v>100</v>
      </c>
      <c r="C18" s="18">
        <v>320</v>
      </c>
      <c r="D18" s="32"/>
    </row>
    <row r="19" spans="1:4">
      <c r="A19" s="19" t="s">
        <v>79</v>
      </c>
      <c r="B19" s="18">
        <v>100</v>
      </c>
      <c r="C19" s="18">
        <v>300</v>
      </c>
      <c r="D19" s="32"/>
    </row>
    <row r="20" spans="1:4">
      <c r="A20" s="19" t="s">
        <v>80</v>
      </c>
      <c r="B20" s="18">
        <v>100</v>
      </c>
      <c r="C20" s="18">
        <v>300</v>
      </c>
      <c r="D20" s="32"/>
    </row>
    <row r="21" spans="1:4">
      <c r="A21" s="19" t="s">
        <v>81</v>
      </c>
      <c r="B21" s="18">
        <v>100</v>
      </c>
      <c r="C21" s="18">
        <v>250</v>
      </c>
      <c r="D21" s="32"/>
    </row>
    <row r="22" spans="1:4">
      <c r="A22" s="19" t="s">
        <v>82</v>
      </c>
      <c r="B22" s="18">
        <v>100</v>
      </c>
      <c r="C22" s="18">
        <v>300</v>
      </c>
      <c r="D22" s="32"/>
    </row>
    <row r="23" spans="1:4">
      <c r="A23" s="19" t="s">
        <v>83</v>
      </c>
      <c r="B23" s="18">
        <v>100</v>
      </c>
      <c r="C23" s="18">
        <v>250</v>
      </c>
      <c r="D23" s="32"/>
    </row>
    <row r="24" spans="1:4">
      <c r="A24" s="19" t="s">
        <v>84</v>
      </c>
      <c r="B24" s="18">
        <v>100</v>
      </c>
      <c r="C24" s="18">
        <v>430</v>
      </c>
      <c r="D24" s="32"/>
    </row>
    <row r="25" spans="1:4">
      <c r="A25" s="19" t="s">
        <v>85</v>
      </c>
      <c r="B25" s="18">
        <v>100</v>
      </c>
      <c r="C25" s="18">
        <v>280</v>
      </c>
      <c r="D25" s="32"/>
    </row>
    <row r="26" spans="1:4">
      <c r="A26" s="19" t="s">
        <v>86</v>
      </c>
      <c r="B26" s="18">
        <v>100</v>
      </c>
      <c r="C26" s="18">
        <v>430</v>
      </c>
      <c r="D26" s="32"/>
    </row>
  </sheetData>
  <mergeCells count="1">
    <mergeCell ref="B2:C3"/>
  </mergeCells>
  <pageMargins left="0.7" right="0.7" top="0.75" bottom="0.75" header="0.3" footer="0.3"/>
  <pageSetup paperSize="9" scale="90" orientation="portrait" horizontalDpi="180" verticalDpi="18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2:E29"/>
  <sheetViews>
    <sheetView view="pageBreakPreview" topLeftCell="A19" zoomScale="115" zoomScaleNormal="100" zoomScaleSheetLayoutView="115" workbookViewId="0">
      <selection activeCell="D8" sqref="D8"/>
    </sheetView>
  </sheetViews>
  <sheetFormatPr defaultRowHeight="15"/>
  <cols>
    <col min="1" max="1" width="51.85546875" style="12" customWidth="1"/>
    <col min="3" max="3" width="15.7109375" customWidth="1"/>
    <col min="4" max="4" width="12.7109375" customWidth="1"/>
    <col min="5" max="5" width="28.28515625" customWidth="1"/>
  </cols>
  <sheetData>
    <row r="2" spans="1:5">
      <c r="B2" s="58" t="s">
        <v>119</v>
      </c>
      <c r="C2" s="58"/>
    </row>
    <row r="3" spans="1:5">
      <c r="B3" s="58"/>
      <c r="C3" s="58"/>
    </row>
    <row r="5" spans="1:5" ht="21">
      <c r="A5" s="13"/>
      <c r="B5" s="6"/>
      <c r="C5" s="7"/>
      <c r="D5" s="7"/>
      <c r="E5" s="7"/>
    </row>
    <row r="6" spans="1:5">
      <c r="A6" s="14"/>
      <c r="B6" s="1"/>
    </row>
    <row r="7" spans="1:5">
      <c r="A7" s="15" t="s">
        <v>3</v>
      </c>
      <c r="B7" s="17" t="s">
        <v>4</v>
      </c>
      <c r="C7" s="5" t="s">
        <v>6</v>
      </c>
      <c r="D7" s="5" t="s">
        <v>5</v>
      </c>
      <c r="E7" s="9"/>
    </row>
    <row r="8" spans="1:5">
      <c r="A8" s="16" t="s">
        <v>87</v>
      </c>
      <c r="B8" s="33">
        <v>200</v>
      </c>
      <c r="C8" s="30">
        <v>390</v>
      </c>
      <c r="D8" s="43"/>
      <c r="E8" s="11"/>
    </row>
    <row r="9" spans="1:5">
      <c r="A9" s="16" t="s">
        <v>88</v>
      </c>
      <c r="B9" s="34">
        <v>70</v>
      </c>
      <c r="C9" s="31">
        <v>160</v>
      </c>
      <c r="D9" s="50"/>
    </row>
    <row r="10" spans="1:5">
      <c r="A10" s="16" t="s">
        <v>89</v>
      </c>
      <c r="B10" s="34">
        <v>70</v>
      </c>
      <c r="C10" s="31">
        <v>100</v>
      </c>
      <c r="D10" s="50"/>
    </row>
    <row r="11" spans="1:5">
      <c r="A11" s="16" t="s">
        <v>90</v>
      </c>
      <c r="B11" s="34">
        <v>70</v>
      </c>
      <c r="C11" s="31">
        <v>100</v>
      </c>
      <c r="D11" s="50"/>
    </row>
    <row r="12" spans="1:5">
      <c r="A12" s="35" t="s">
        <v>91</v>
      </c>
      <c r="B12" s="18">
        <v>70</v>
      </c>
      <c r="C12" s="18">
        <v>110</v>
      </c>
      <c r="D12" s="50"/>
    </row>
    <row r="13" spans="1:5">
      <c r="A13" s="35" t="s">
        <v>92</v>
      </c>
      <c r="B13" s="18">
        <v>70</v>
      </c>
      <c r="C13" s="18">
        <v>80</v>
      </c>
      <c r="D13" s="50"/>
    </row>
    <row r="14" spans="1:5">
      <c r="A14" s="35" t="s">
        <v>93</v>
      </c>
      <c r="B14" s="18">
        <v>50</v>
      </c>
      <c r="C14" s="18">
        <v>120</v>
      </c>
      <c r="D14" s="50"/>
    </row>
    <row r="15" spans="1:5">
      <c r="A15" s="35" t="s">
        <v>94</v>
      </c>
      <c r="B15" s="18">
        <v>70</v>
      </c>
      <c r="C15" s="18">
        <v>80</v>
      </c>
      <c r="D15" s="50"/>
    </row>
    <row r="16" spans="1:5">
      <c r="A16" s="35" t="s">
        <v>95</v>
      </c>
      <c r="B16" s="18">
        <v>70</v>
      </c>
      <c r="C16" s="18">
        <v>80</v>
      </c>
      <c r="D16" s="50"/>
    </row>
    <row r="17" spans="1:4">
      <c r="A17" s="35" t="s">
        <v>96</v>
      </c>
      <c r="B17" s="18">
        <v>70</v>
      </c>
      <c r="C17" s="18">
        <v>80</v>
      </c>
      <c r="D17" s="50"/>
    </row>
    <row r="18" spans="1:4">
      <c r="A18" s="35" t="s">
        <v>97</v>
      </c>
      <c r="B18" s="18">
        <v>100</v>
      </c>
      <c r="C18" s="18">
        <v>220</v>
      </c>
      <c r="D18" s="50"/>
    </row>
    <row r="19" spans="1:4">
      <c r="A19" s="35" t="s">
        <v>98</v>
      </c>
      <c r="B19" s="18">
        <v>100</v>
      </c>
      <c r="C19" s="18">
        <v>120</v>
      </c>
      <c r="D19" s="50"/>
    </row>
    <row r="20" spans="1:4">
      <c r="A20" s="35" t="s">
        <v>99</v>
      </c>
      <c r="B20" s="18">
        <v>100</v>
      </c>
      <c r="C20" s="18">
        <v>160</v>
      </c>
      <c r="D20" s="50"/>
    </row>
    <row r="21" spans="1:4">
      <c r="A21" s="35" t="s">
        <v>100</v>
      </c>
      <c r="B21" s="18">
        <v>400</v>
      </c>
      <c r="C21" s="18">
        <v>300</v>
      </c>
      <c r="D21" s="50"/>
    </row>
    <row r="22" spans="1:4">
      <c r="A22" s="35" t="s">
        <v>101</v>
      </c>
      <c r="B22" s="18">
        <v>400</v>
      </c>
      <c r="C22" s="18">
        <v>300</v>
      </c>
      <c r="D22" s="50"/>
    </row>
    <row r="23" spans="1:4">
      <c r="A23" s="35" t="s">
        <v>102</v>
      </c>
      <c r="B23" s="18">
        <v>70</v>
      </c>
      <c r="C23" s="18">
        <v>150</v>
      </c>
      <c r="D23" s="50"/>
    </row>
    <row r="24" spans="1:4">
      <c r="A24" s="35" t="s">
        <v>103</v>
      </c>
      <c r="B24" s="18">
        <v>70</v>
      </c>
      <c r="C24" s="18">
        <v>150</v>
      </c>
      <c r="D24" s="50"/>
    </row>
    <row r="25" spans="1:4">
      <c r="A25" s="35" t="s">
        <v>104</v>
      </c>
      <c r="B25" s="18">
        <v>70</v>
      </c>
      <c r="C25" s="18">
        <v>150</v>
      </c>
      <c r="D25" s="50"/>
    </row>
    <row r="26" spans="1:4">
      <c r="A26" s="35" t="s">
        <v>105</v>
      </c>
      <c r="B26" s="18">
        <v>50</v>
      </c>
      <c r="C26" s="18">
        <v>150</v>
      </c>
      <c r="D26" s="50"/>
    </row>
    <row r="27" spans="1:4">
      <c r="A27" s="35" t="s">
        <v>106</v>
      </c>
      <c r="B27" s="18">
        <v>50</v>
      </c>
      <c r="C27" s="18">
        <v>150</v>
      </c>
      <c r="D27" s="50"/>
    </row>
    <row r="28" spans="1:4">
      <c r="A28" s="35" t="s">
        <v>107</v>
      </c>
      <c r="B28" s="18">
        <v>50</v>
      </c>
      <c r="C28" s="18">
        <v>130</v>
      </c>
      <c r="D28" s="50"/>
    </row>
    <row r="29" spans="1:4">
      <c r="A29" s="35" t="s">
        <v>108</v>
      </c>
      <c r="B29" s="18">
        <v>50</v>
      </c>
      <c r="C29" s="18">
        <v>150</v>
      </c>
      <c r="D29" s="50"/>
    </row>
  </sheetData>
  <dataConsolidate/>
  <mergeCells count="1">
    <mergeCell ref="B2:C3"/>
  </mergeCells>
  <pageMargins left="0.7" right="0.7" top="0.75" bottom="0.75" header="0.3" footer="0.3"/>
  <pageSetup paperSize="9" scale="90" orientation="portrait" horizontalDpi="180" verticalDpi="18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2:F13"/>
  <sheetViews>
    <sheetView view="pageBreakPreview" topLeftCell="A10" zoomScale="115" zoomScaleNormal="100" zoomScaleSheetLayoutView="115" workbookViewId="0">
      <selection activeCell="C8" sqref="C8"/>
    </sheetView>
  </sheetViews>
  <sheetFormatPr defaultRowHeight="15"/>
  <cols>
    <col min="1" max="1" width="44.140625" style="12" customWidth="1"/>
    <col min="4" max="4" width="9.42578125" customWidth="1"/>
    <col min="6" max="6" width="28.28515625" customWidth="1"/>
  </cols>
  <sheetData>
    <row r="2" spans="1:6">
      <c r="B2" s="62" t="s">
        <v>111</v>
      </c>
      <c r="C2" s="62"/>
      <c r="D2" s="62"/>
    </row>
    <row r="3" spans="1:6">
      <c r="B3" s="62"/>
      <c r="C3" s="62"/>
      <c r="D3" s="62"/>
    </row>
    <row r="5" spans="1:6" ht="21">
      <c r="A5" s="13"/>
      <c r="B5" s="6"/>
      <c r="C5" s="3"/>
      <c r="D5" s="7"/>
      <c r="E5" s="7"/>
      <c r="F5" s="7"/>
    </row>
    <row r="6" spans="1:6">
      <c r="A6" s="14"/>
      <c r="B6" s="1"/>
    </row>
    <row r="7" spans="1:6">
      <c r="A7" s="15" t="s">
        <v>3</v>
      </c>
      <c r="B7" s="41" t="s">
        <v>4</v>
      </c>
      <c r="C7" s="41" t="s">
        <v>6</v>
      </c>
      <c r="D7" s="42" t="s">
        <v>5</v>
      </c>
      <c r="E7" s="8"/>
      <c r="F7" s="9"/>
    </row>
    <row r="8" spans="1:6" ht="32.25" customHeight="1">
      <c r="A8" s="39" t="s">
        <v>113</v>
      </c>
      <c r="B8" s="34">
        <v>500</v>
      </c>
      <c r="C8" s="31"/>
      <c r="D8" s="31"/>
      <c r="E8" s="10"/>
      <c r="F8" s="11"/>
    </row>
    <row r="9" spans="1:6" ht="27.75" customHeight="1">
      <c r="A9" s="39" t="s">
        <v>112</v>
      </c>
      <c r="B9" s="34">
        <v>500</v>
      </c>
      <c r="C9" s="31"/>
      <c r="D9" s="31"/>
    </row>
    <row r="10" spans="1:6" ht="33.75" customHeight="1">
      <c r="A10" s="39" t="s">
        <v>114</v>
      </c>
      <c r="B10" s="34">
        <v>500</v>
      </c>
      <c r="C10" s="31"/>
      <c r="D10" s="31"/>
    </row>
    <row r="11" spans="1:6" ht="32.25" customHeight="1">
      <c r="A11" s="39" t="s">
        <v>115</v>
      </c>
      <c r="B11" s="34">
        <v>500</v>
      </c>
      <c r="C11" s="31"/>
      <c r="D11" s="31"/>
    </row>
    <row r="12" spans="1:6" ht="35.25" customHeight="1">
      <c r="A12" s="40" t="s">
        <v>116</v>
      </c>
      <c r="B12" s="18">
        <v>500</v>
      </c>
      <c r="C12" s="32"/>
      <c r="D12" s="32"/>
    </row>
    <row r="13" spans="1:6" ht="40.5" customHeight="1">
      <c r="A13" s="40" t="s">
        <v>117</v>
      </c>
      <c r="B13" s="18">
        <v>650</v>
      </c>
      <c r="C13" s="32"/>
      <c r="D13" s="32"/>
    </row>
  </sheetData>
  <mergeCells count="1">
    <mergeCell ref="B2:D3"/>
  </mergeCells>
  <pageMargins left="0.7" right="0.7" top="0.75" bottom="0.75" header="0.3" footer="0.3"/>
  <pageSetup paperSize="9" scale="90" orientation="portrait" horizontalDpi="180" verticalDpi="18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7</vt:i4>
      </vt:variant>
    </vt:vector>
  </HeadingPairs>
  <TitlesOfParts>
    <vt:vector size="14" baseType="lpstr">
      <vt:lpstr>меню</vt:lpstr>
      <vt:lpstr>пицца</vt:lpstr>
      <vt:lpstr>горячее</vt:lpstr>
      <vt:lpstr>закуски</vt:lpstr>
      <vt:lpstr>салаты</vt:lpstr>
      <vt:lpstr>бутерброды</vt:lpstr>
      <vt:lpstr>ритуальные обеды</vt:lpstr>
      <vt:lpstr>бутерброды!Область_печати</vt:lpstr>
      <vt:lpstr>горячее!Область_печати</vt:lpstr>
      <vt:lpstr>закуски!Область_печати</vt:lpstr>
      <vt:lpstr>меню!Область_печати</vt:lpstr>
      <vt:lpstr>пицца!Область_печати</vt:lpstr>
      <vt:lpstr>'ритуальные обеды'!Область_печати</vt:lpstr>
      <vt:lpstr>салаты!Область_печати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администратор</dc:creator>
  <cp:lastModifiedBy>exe</cp:lastModifiedBy>
  <cp:lastPrinted>2024-08-12T09:17:01Z</cp:lastPrinted>
  <dcterms:created xsi:type="dcterms:W3CDTF">2006-09-28T05:33:49Z</dcterms:created>
  <dcterms:modified xsi:type="dcterms:W3CDTF">2024-08-20T05:34:18Z</dcterms:modified>
</cp:coreProperties>
</file>